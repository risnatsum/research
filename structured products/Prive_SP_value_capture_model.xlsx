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Value Model" sheetId="2" state="visible" r:id="rId4"/>
    <sheet name="Price Cards" sheetId="3" state="visible" r:id="rId5"/>
    <sheet name="T2 Overlay Calc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<sst xmlns="http://schemas.openxmlformats.org/spreadsheetml/2006/main" count="102" uniqueCount="102">
  <si>
    <t xml:space="preserve">Privé Structured Products Engine — Value-Capture Model: Assumptions</t>
  </si>
  <si>
    <t xml:space="preserve">Legend: blue text on yellow = adjustable input (edit these). Black = formula. Green = link from another sheet.</t>
  </si>
  <si>
    <t xml:space="preserve">ID</t>
  </si>
  <si>
    <t xml:space="preserve">Assumption</t>
  </si>
  <si>
    <t xml:space="preserve">Value</t>
  </si>
  <si>
    <t xml:space="preserve">Notes / source</t>
  </si>
  <si>
    <t xml:space="preserve">A2</t>
  </si>
  <si>
    <t xml:space="preserve">Annual call/maturity event rate</t>
  </si>
  <si>
    <t xml:space="preserve">iCapital 2024: ~$39bn called = 73% of callable population; ~12m avg duration. Range 65–80%.</t>
  </si>
  <si>
    <t xml:space="preserve">A3a</t>
  </si>
  <si>
    <t xml:space="preserve">Capture-rate uplift — banks (pp of event volume)</t>
  </si>
  <si>
    <t xml:space="preserve">Banks baseline capture ~50–60%; uplift +5pp conservative / +15pp upside. REPLACE WITH PILOT TELEMETRY.</t>
  </si>
  <si>
    <t xml:space="preserve">A3b</t>
  </si>
  <si>
    <t xml:space="preserve">Capture-rate uplift — EAMs (pp of event volume)</t>
  </si>
  <si>
    <t xml:space="preserve">EAMs largely spreadsheet-driven; lower baseline, higher uplift. Range +5 to +20pp.</t>
  </si>
  <si>
    <t xml:space="preserve">A4</t>
  </si>
  <si>
    <t xml:space="preserve">Sales margin on SP flow (fraction)</t>
  </si>
  <si>
    <t xml:space="preserve">Typical Asian PB/EAM upfront margin on FCN/ELN/autocall: 0.5–1.5% (100bps base).</t>
  </si>
  <si>
    <t xml:space="preserve">A1a</t>
  </si>
  <si>
    <t xml:space="preserve">Value-capture share — EAM / mid-tier price ceiling</t>
  </si>
  <si>
    <t xml:space="preserve">Software's sustainable share of value created: 10–20%.</t>
  </si>
  <si>
    <t xml:space="preserve">A1b</t>
  </si>
  <si>
    <t xml:space="preserve">Value-capture share — large bank</t>
  </si>
  <si>
    <t xml:space="preserve">Large buyers pay a lower share: 8–15%.</t>
  </si>
  <si>
    <t xml:space="preserve">A6a</t>
  </si>
  <si>
    <t xml:space="preserve">EAM fee yield on AUM</t>
  </si>
  <si>
    <t xml:space="preserve">Typical EAM revenue 0.5–1.0% of AUM.</t>
  </si>
  <si>
    <t xml:space="preserve">A6b</t>
  </si>
  <si>
    <t xml:space="preserve">SP share of EAM revenue</t>
  </si>
  <si>
    <t xml:space="preserve">SPs ~20%+ of revenue at many Asian wealth platforms.</t>
  </si>
  <si>
    <t xml:space="preserve">A12</t>
  </si>
  <si>
    <t xml:space="preserve">SP allocation within EAM AUM</t>
  </si>
  <si>
    <t xml:space="preserve">15–25% typical; drives SP book from AUM.</t>
  </si>
  <si>
    <t xml:space="preserve">Value-Capture Model — Scenarios (all formulas live; edit blue/yellow cells here or on Assumptions)</t>
  </si>
  <si>
    <t xml:space="preserve">Line item</t>
  </si>
  <si>
    <t xml:space="preserve">EAM (Band B)</t>
  </si>
  <si>
    <t xml:space="preserve">Mid-tier private bank</t>
  </si>
  <si>
    <t xml:space="preserve">Large bank</t>
  </si>
  <si>
    <t xml:space="preserve">Formula logic</t>
  </si>
  <si>
    <t xml:space="preserve">Client AUM ($) — EAM only</t>
  </si>
  <si>
    <t xml:space="preserve">Input</t>
  </si>
  <si>
    <t xml:space="preserve">SP book size ($)</t>
  </si>
  <si>
    <t xml:space="preserve">EAM: AUM × SP allocation (A12). Banks: direct input.</t>
  </si>
  <si>
    <t xml:space="preserve">Annual call/maturity event volume ($)</t>
  </si>
  <si>
    <t xml:space="preserve">SP book × call rate (A2)</t>
  </si>
  <si>
    <t xml:space="preserve">Capture-rate uplift applied</t>
  </si>
  <si>
    <t xml:space="preserve">EAMs use A3b; banks A3a</t>
  </si>
  <si>
    <t xml:space="preserve">Incremental captured reinvestment flow ($)</t>
  </si>
  <si>
    <t xml:space="preserve">Event volume × uplift</t>
  </si>
  <si>
    <t xml:space="preserve">Incremental margin created p.a. ($)</t>
  </si>
  <si>
    <t xml:space="preserve">Flow × sales margin (A4)</t>
  </si>
  <si>
    <t xml:space="preserve">Value-capture share applied</t>
  </si>
  <si>
    <t xml:space="preserve">A1a for EAM/mid-tier; A1b for large bank</t>
  </si>
  <si>
    <t xml:space="preserve">Defensible annual software price (ceiling) ($)</t>
  </si>
  <si>
    <t xml:space="preserve">Incremental margin × capture share</t>
  </si>
  <si>
    <t xml:space="preserve">Proposed target annual price (from methodology doc)</t>
  </si>
  <si>
    <t xml:space="preserve">EAM 'Manage' Band B annual fee; banks: full-stack target ACV (all three tiers)</t>
  </si>
  <si>
    <t xml:space="preserve">Proposed price as % of value created</t>
  </si>
  <si>
    <t xml:space="preserve">Should sit ~8–20%. Above 25% = overpriced; below 8% = money left on table.</t>
  </si>
  <si>
    <t xml:space="preserve">EAM affordability check</t>
  </si>
  <si>
    <t xml:space="preserve">EAM total revenue ($)</t>
  </si>
  <si>
    <t xml:space="preserve">EAM SP-attributable revenue ($)</t>
  </si>
  <si>
    <t xml:space="preserve">Proposed price as % of SP revenue</t>
  </si>
  <si>
    <t xml:space="preserve">Keep under ~5% for a founder-signable 'no-brainer'.</t>
  </si>
  <si>
    <t xml:space="preserve">Price Cards — floor / target / stretch (annual, USD; static reference from methodology doc)</t>
  </si>
  <si>
    <t xml:space="preserve">EAM ladder (by SP book band: A &lt;$50m, B $50–150m, C $150–400m)</t>
  </si>
  <si>
    <t xml:space="preserve">Rung</t>
  </si>
  <si>
    <t xml:space="preserve">Band A</t>
  </si>
  <si>
    <t xml:space="preserve">Band B</t>
  </si>
  <si>
    <t xml:space="preserve">Band C</t>
  </si>
  <si>
    <t xml:space="preserve">Floor</t>
  </si>
  <si>
    <t xml:space="preserve">Target</t>
  </si>
  <si>
    <t xml:space="preserve">Stretch</t>
  </si>
  <si>
    <t xml:space="preserve">Monitor (Tier 1)</t>
  </si>
  <si>
    <t xml:space="preserve">Manage (Tier 2, incl. Monitor)</t>
  </si>
  <si>
    <t xml:space="preserve">Build (Tier 3, incl. all; 2 creator seats)</t>
  </si>
  <si>
    <t xml:space="preserve">Enterprise modules</t>
  </si>
  <si>
    <t xml:space="preserve">Module</t>
  </si>
  <si>
    <t xml:space="preserve">Mid-tier floor</t>
  </si>
  <si>
    <t xml:space="preserve">Mid-tier target</t>
  </si>
  <si>
    <t xml:space="preserve">Mid-tier stretch</t>
  </si>
  <si>
    <t xml:space="preserve">Large floor</t>
  </si>
  <si>
    <t xml:space="preserve">Large target</t>
  </si>
  <si>
    <t xml:space="preserve">Large stretch</t>
  </si>
  <si>
    <t xml:space="preserve">Tier 1 platform / data feed (per entity, per use case)</t>
  </si>
  <si>
    <t xml:space="preserve">Tier 2 lifecycle + NBO (fixed, volume-tiered)</t>
  </si>
  <si>
    <t xml:space="preserve">Tier 3 builder (seats @$3k, min 25; or desk licence)</t>
  </si>
  <si>
    <t xml:space="preserve">Full-stack ACV</t>
  </si>
  <si>
    <t xml:space="preserve">Implementation (one-time): EAM $0–2.5k · Mid-tier full stack $250–400k (target $300k) · Large bank $500k–1m. Pilot fee ($30–50k enterprise) 100% creditable against year-1 licence within 60 days of pilot end.</t>
  </si>
  <si>
    <t xml:space="preserve">Optional Tier 2 bps overlay — trade 30% of fixed fee for capped upside</t>
  </si>
  <si>
    <t xml:space="preserve">Tier 2 target fixed fee ($)</t>
  </si>
  <si>
    <t xml:space="preserve">Fixed-fee reduction if overlay elected</t>
  </si>
  <si>
    <t xml:space="preserve">Overlay rate (bps p.a. on covered book above threshold)</t>
  </si>
  <si>
    <t xml:space="preserve">Covered-book threshold ($)</t>
  </si>
  <si>
    <t xml:space="preserve">Covered SP book ($)</t>
  </si>
  <si>
    <t xml:space="preserve">Cap multiple (× target fixed fee)</t>
  </si>
  <si>
    <t xml:space="preserve">Reduced fixed fee ($)</t>
  </si>
  <si>
    <t xml:space="preserve">Overlay charge ($)</t>
  </si>
  <si>
    <t xml:space="preserve">Total before cap ($)</t>
  </si>
  <si>
    <t xml:space="preserve">Cap ($)</t>
  </si>
  <si>
    <t xml:space="preserve">Total payable ($)</t>
  </si>
  <si>
    <t xml:space="preserve">Note: overlay meters on covered book (objective, from nightly position file), never on 'measured capture' — avoids attribution disputes at renewal.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</si>
</sst>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0.00%"/>
    <numFmt numFmtId="167" formatCode="\$#,##0"/>
    <numFmt numFmtId="168" formatCode="0%"/>
    <numFmt numFmtId="169" formatCode="0.00"/>
    <numFmt numFmtId="170" formatCode="0.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8"/>
    <col collapsed="false" customWidth="true" hidden="false" outlineLevel="0" max="3" min="3" style="1" width="12"/>
    <col collapsed="false" customWidth="true" hidden="false" outlineLevel="0" max="4" min="4" style="1" width="9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/>
      <c r="B3" s="4"/>
      <c r="D3" s="4"/>
    </row>
    <row r="4" customFormat="false" ht="15" hidden="false" customHeight="true" outlineLevel="0" collapsed="false">
      <c r="A4" s="5" t="s">
        <v>2</v>
      </c>
      <c r="B4" s="5" t="s">
        <v>3</v>
      </c>
      <c r="C4" s="5" t="s">
        <v>4</v>
      </c>
      <c r="D4" s="5" t="s">
        <v>5</v>
      </c>
    </row>
    <row r="5" customFormat="false" ht="15" hidden="false" customHeight="true" outlineLevel="0" collapsed="false">
      <c r="A5" s="4" t="s">
        <v>6</v>
      </c>
      <c r="B5" s="4" t="s">
        <v>7</v>
      </c>
      <c r="C5" s="6" t="n">
        <v>0.73</v>
      </c>
      <c r="D5" s="4" t="s">
        <v>8</v>
      </c>
    </row>
    <row r="6" customFormat="false" ht="15" hidden="false" customHeight="true" outlineLevel="0" collapsed="false">
      <c r="A6" s="4" t="s">
        <v>9</v>
      </c>
      <c r="B6" s="4" t="s">
        <v>10</v>
      </c>
      <c r="C6" s="6" t="n">
        <v>0.1</v>
      </c>
      <c r="D6" s="4" t="s">
        <v>11</v>
      </c>
    </row>
    <row r="7" customFormat="false" ht="15" hidden="false" customHeight="true" outlineLevel="0" collapsed="false">
      <c r="A7" s="4" t="s">
        <v>12</v>
      </c>
      <c r="B7" s="4" t="s">
        <v>13</v>
      </c>
      <c r="C7" s="6" t="n">
        <v>0.15</v>
      </c>
      <c r="D7" s="4" t="s">
        <v>14</v>
      </c>
    </row>
    <row r="8" customFormat="false" ht="15" hidden="false" customHeight="true" outlineLevel="0" collapsed="false">
      <c r="A8" s="4" t="s">
        <v>15</v>
      </c>
      <c r="B8" s="4" t="s">
        <v>16</v>
      </c>
      <c r="C8" s="7" t="n">
        <v>0.01</v>
      </c>
      <c r="D8" s="4" t="s">
        <v>17</v>
      </c>
    </row>
    <row r="9" customFormat="false" ht="15" hidden="false" customHeight="true" outlineLevel="0" collapsed="false">
      <c r="A9" s="4" t="s">
        <v>18</v>
      </c>
      <c r="B9" s="4" t="s">
        <v>19</v>
      </c>
      <c r="C9" s="6" t="n">
        <v>0.15</v>
      </c>
      <c r="D9" s="4" t="s">
        <v>20</v>
      </c>
    </row>
    <row r="10" customFormat="false" ht="15" hidden="false" customHeight="true" outlineLevel="0" collapsed="false">
      <c r="A10" s="4" t="s">
        <v>21</v>
      </c>
      <c r="B10" s="4" t="s">
        <v>22</v>
      </c>
      <c r="C10" s="6" t="n">
        <v>0.1</v>
      </c>
      <c r="D10" s="4" t="s">
        <v>23</v>
      </c>
    </row>
    <row r="11" customFormat="false" ht="15" hidden="false" customHeight="true" outlineLevel="0" collapsed="false">
      <c r="A11" s="4" t="s">
        <v>24</v>
      </c>
      <c r="B11" s="4" t="s">
        <v>25</v>
      </c>
      <c r="C11" s="7" t="n">
        <v>0.006</v>
      </c>
      <c r="D11" s="4" t="s">
        <v>26</v>
      </c>
    </row>
    <row r="12" customFormat="false" ht="15" hidden="false" customHeight="true" outlineLevel="0" collapsed="false">
      <c r="A12" s="4" t="s">
        <v>27</v>
      </c>
      <c r="B12" s="4" t="s">
        <v>28</v>
      </c>
      <c r="C12" s="6" t="n">
        <v>0.2</v>
      </c>
      <c r="D12" s="4" t="s">
        <v>29</v>
      </c>
    </row>
    <row r="13" customFormat="false" ht="15" hidden="false" customHeight="true" outlineLevel="0" collapsed="false">
      <c r="A13" s="4" t="s">
        <v>30</v>
      </c>
      <c r="B13" s="4" t="s">
        <v>31</v>
      </c>
      <c r="C13" s="6" t="n">
        <v>0.2</v>
      </c>
      <c r="D13" s="4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4" min="2" style="1" width="18"/>
    <col collapsed="false" customWidth="true" hidden="false" outlineLevel="0" max="5" min="5" style="1" width="70"/>
  </cols>
  <sheetData>
    <row r="1" customFormat="false" ht="17.25" hidden="false" customHeight="true" outlineLevel="0" collapsed="false">
      <c r="A1" s="2" t="s">
        <v>33</v>
      </c>
    </row>
    <row r="3" customFormat="false" ht="15" hidden="false" customHeight="true" outlineLevel="0" collapsed="false">
      <c r="A3" s="8" t="s">
        <v>34</v>
      </c>
      <c r="B3" s="8" t="s">
        <v>35</v>
      </c>
      <c r="C3" s="8" t="s">
        <v>36</v>
      </c>
      <c r="D3" s="8" t="s">
        <v>37</v>
      </c>
      <c r="E3" s="8" t="s">
        <v>38</v>
      </c>
    </row>
    <row r="4" customFormat="false" ht="15" hidden="false" customHeight="true" outlineLevel="0" collapsed="false">
      <c r="A4" s="4" t="s">
        <v>39</v>
      </c>
      <c r="B4" s="9" t="n">
        <v>500000000</v>
      </c>
      <c r="E4" s="4" t="s">
        <v>40</v>
      </c>
    </row>
    <row r="5" customFormat="false" ht="15" hidden="false" customHeight="true" outlineLevel="0" collapsed="false">
      <c r="A5" s="4" t="s">
        <v>41</v>
      </c>
      <c r="B5" s="10" t="n">
        <f aca="false">B4*Assumptions!$C$13</f>
        <v>100000000</v>
      </c>
      <c r="C5" s="9" t="n">
        <v>5000000000</v>
      </c>
      <c r="D5" s="9" t="n">
        <v>20000000000</v>
      </c>
      <c r="E5" s="4" t="s">
        <v>42</v>
      </c>
    </row>
    <row r="6" customFormat="false" ht="15" hidden="false" customHeight="true" outlineLevel="0" collapsed="false">
      <c r="A6" s="4" t="s">
        <v>43</v>
      </c>
      <c r="B6" s="11" t="n">
        <f aca="false">B5*Assumptions!$C$5</f>
        <v>73000000</v>
      </c>
      <c r="C6" s="11" t="n">
        <f aca="false">C5*Assumptions!$C$5</f>
        <v>3650000000</v>
      </c>
      <c r="D6" s="11" t="n">
        <f aca="false">D5*Assumptions!$C$5</f>
        <v>14600000000</v>
      </c>
      <c r="E6" s="4" t="s">
        <v>44</v>
      </c>
    </row>
    <row r="7" customFormat="false" ht="15" hidden="false" customHeight="true" outlineLevel="0" collapsed="false">
      <c r="A7" s="4" t="s">
        <v>45</v>
      </c>
      <c r="B7" s="12" t="n">
        <f aca="false">Assumptions!$C$7</f>
        <v>0.15</v>
      </c>
      <c r="C7" s="12" t="n">
        <f aca="false">Assumptions!$C$6</f>
        <v>0.1</v>
      </c>
      <c r="D7" s="12" t="n">
        <f aca="false">Assumptions!$C$6</f>
        <v>0.1</v>
      </c>
      <c r="E7" s="4" t="s">
        <v>46</v>
      </c>
    </row>
    <row r="8" customFormat="false" ht="15" hidden="false" customHeight="true" outlineLevel="0" collapsed="false">
      <c r="A8" s="4" t="s">
        <v>47</v>
      </c>
      <c r="B8" s="11" t="n">
        <f aca="false">B6*B7</f>
        <v>10950000</v>
      </c>
      <c r="C8" s="11" t="n">
        <f aca="false">C6*C7</f>
        <v>365000000</v>
      </c>
      <c r="D8" s="11" t="n">
        <f aca="false">D6*D7</f>
        <v>1460000000</v>
      </c>
      <c r="E8" s="4" t="s">
        <v>48</v>
      </c>
    </row>
    <row r="9" customFormat="false" ht="15" hidden="false" customHeight="true" outlineLevel="0" collapsed="false">
      <c r="A9" s="13" t="s">
        <v>49</v>
      </c>
      <c r="B9" s="14" t="n">
        <f aca="false">B8*Assumptions!$C$8</f>
        <v>109500</v>
      </c>
      <c r="C9" s="14" t="n">
        <f aca="false">C8*Assumptions!$C$8</f>
        <v>3650000</v>
      </c>
      <c r="D9" s="14" t="n">
        <f aca="false">D8*Assumptions!$C$8</f>
        <v>14600000</v>
      </c>
      <c r="E9" s="4" t="s">
        <v>50</v>
      </c>
    </row>
    <row r="10" customFormat="false" ht="15" hidden="false" customHeight="true" outlineLevel="0" collapsed="false">
      <c r="A10" s="4" t="s">
        <v>51</v>
      </c>
      <c r="B10" s="12" t="n">
        <f aca="false">Assumptions!$C$9</f>
        <v>0.15</v>
      </c>
      <c r="C10" s="12" t="n">
        <f aca="false">Assumptions!$C$9</f>
        <v>0.15</v>
      </c>
      <c r="D10" s="12" t="n">
        <f aca="false">Assumptions!$C$10</f>
        <v>0.1</v>
      </c>
      <c r="E10" s="4" t="s">
        <v>52</v>
      </c>
    </row>
    <row r="11" customFormat="false" ht="15" hidden="false" customHeight="true" outlineLevel="0" collapsed="false">
      <c r="A11" s="13" t="s">
        <v>53</v>
      </c>
      <c r="B11" s="15" t="n">
        <f aca="false">B9*B10</f>
        <v>16425</v>
      </c>
      <c r="C11" s="15" t="n">
        <f aca="false">C9*C10</f>
        <v>547500</v>
      </c>
      <c r="D11" s="15" t="n">
        <f aca="false">D9*D10</f>
        <v>1460000</v>
      </c>
      <c r="E11" s="4" t="s">
        <v>54</v>
      </c>
    </row>
    <row r="13" customFormat="false" ht="15" hidden="false" customHeight="true" outlineLevel="0" collapsed="false">
      <c r="A13" s="4" t="s">
        <v>55</v>
      </c>
      <c r="B13" s="9" t="n">
        <v>20000</v>
      </c>
      <c r="C13" s="9" t="n">
        <v>575000</v>
      </c>
      <c r="D13" s="9" t="n">
        <v>1350000</v>
      </c>
      <c r="E13" s="4" t="s">
        <v>56</v>
      </c>
    </row>
    <row r="14" customFormat="false" ht="15" hidden="false" customHeight="true" outlineLevel="0" collapsed="false">
      <c r="A14" s="13" t="s">
        <v>57</v>
      </c>
      <c r="B14" s="16" t="n">
        <f aca="false">IF(B9=0,0,B13/B9)</f>
        <v>0.182648401826484</v>
      </c>
      <c r="C14" s="16" t="n">
        <f aca="false">IF(C9=0,0,C13/C9)</f>
        <v>0.157534246575342</v>
      </c>
      <c r="D14" s="16" t="n">
        <f aca="false">IF(D9=0,0,D13/D9)</f>
        <v>0.0924657534246575</v>
      </c>
      <c r="E14" s="4" t="s">
        <v>58</v>
      </c>
    </row>
    <row r="16" customFormat="false" ht="15" hidden="false" customHeight="true" outlineLevel="0" collapsed="false">
      <c r="A16" s="13" t="s">
        <v>59</v>
      </c>
    </row>
    <row r="17" customFormat="false" ht="15" hidden="false" customHeight="true" outlineLevel="0" collapsed="false">
      <c r="A17" s="4" t="s">
        <v>60</v>
      </c>
      <c r="B17" s="10" t="n">
        <f aca="false">B4*Assumptions!$C$11</f>
        <v>3000000</v>
      </c>
    </row>
    <row r="18" customFormat="false" ht="15" hidden="false" customHeight="true" outlineLevel="0" collapsed="false">
      <c r="A18" s="4" t="s">
        <v>61</v>
      </c>
      <c r="B18" s="11" t="n">
        <f aca="false">B17*Assumptions!$C$12</f>
        <v>600000</v>
      </c>
    </row>
    <row r="19" customFormat="false" ht="15" hidden="false" customHeight="true" outlineLevel="0" collapsed="false">
      <c r="A19" s="13" t="s">
        <v>62</v>
      </c>
      <c r="B19" s="16" t="n">
        <f aca="false">IF(B18=0,0,B13/B18)</f>
        <v>0.0333333333333333</v>
      </c>
      <c r="E19" s="4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7" min="2" style="1" width="15"/>
  </cols>
  <sheetData>
    <row r="1" customFormat="false" ht="17.25" hidden="false" customHeight="true" outlineLevel="0" collapsed="false">
      <c r="A1" s="2" t="s">
        <v>64</v>
      </c>
    </row>
    <row r="3" customFormat="false" ht="15" hidden="false" customHeight="true" outlineLevel="0" collapsed="false">
      <c r="A3" s="13" t="s">
        <v>65</v>
      </c>
    </row>
    <row r="4" customFormat="false" ht="15" hidden="false" customHeight="true" outlineLevel="0" collapsed="false">
      <c r="A4" s="8" t="s">
        <v>66</v>
      </c>
      <c r="B4" s="8" t="s">
        <v>67</v>
      </c>
      <c r="C4" s="8" t="s">
        <v>68</v>
      </c>
      <c r="D4" s="8" t="s">
        <v>69</v>
      </c>
      <c r="E4" s="8" t="s">
        <v>70</v>
      </c>
      <c r="F4" s="8" t="s">
        <v>71</v>
      </c>
      <c r="G4" s="8" t="s">
        <v>72</v>
      </c>
    </row>
    <row r="5" customFormat="false" ht="15" hidden="false" customHeight="true" outlineLevel="0" collapsed="false">
      <c r="A5" s="4" t="s">
        <v>73</v>
      </c>
      <c r="B5" s="17" t="n">
        <v>6000</v>
      </c>
      <c r="C5" s="17" t="n">
        <v>10000</v>
      </c>
      <c r="D5" s="17" t="n">
        <v>15000</v>
      </c>
      <c r="E5" s="17" t="n">
        <v>5000</v>
      </c>
      <c r="F5" s="17" t="n">
        <v>10000</v>
      </c>
      <c r="G5" s="17" t="n">
        <v>18000</v>
      </c>
    </row>
    <row r="6" customFormat="false" ht="15" hidden="false" customHeight="true" outlineLevel="0" collapsed="false">
      <c r="A6" s="4" t="s">
        <v>74</v>
      </c>
      <c r="B6" s="17" t="n">
        <v>12000</v>
      </c>
      <c r="C6" s="17" t="n">
        <v>20000</v>
      </c>
      <c r="D6" s="17" t="n">
        <v>32000</v>
      </c>
      <c r="E6" s="17" t="n">
        <v>10000</v>
      </c>
      <c r="F6" s="17" t="n">
        <v>20000</v>
      </c>
      <c r="G6" s="17" t="n">
        <v>45000</v>
      </c>
    </row>
    <row r="7" customFormat="false" ht="15" hidden="false" customHeight="true" outlineLevel="0" collapsed="false">
      <c r="A7" s="4" t="s">
        <v>75</v>
      </c>
      <c r="B7" s="17" t="n">
        <v>18000</v>
      </c>
      <c r="C7" s="17" t="n">
        <v>30000</v>
      </c>
      <c r="D7" s="17" t="n">
        <v>48000</v>
      </c>
      <c r="E7" s="17" t="n">
        <v>15000</v>
      </c>
      <c r="F7" s="17" t="n">
        <v>30000</v>
      </c>
      <c r="G7" s="17" t="n">
        <v>60000</v>
      </c>
    </row>
    <row r="8" customFormat="false" ht="15" hidden="false" customHeight="true" outlineLevel="0" collapsed="false">
      <c r="A8" s="13"/>
    </row>
    <row r="9" customFormat="false" ht="15" hidden="false" customHeight="true" outlineLevel="0" collapsed="false">
      <c r="A9" s="13" t="s">
        <v>76</v>
      </c>
    </row>
    <row r="10" customFormat="false" ht="15" hidden="false" customHeight="true" outlineLevel="0" collapsed="false">
      <c r="A10" s="8" t="s">
        <v>77</v>
      </c>
      <c r="B10" s="8" t="s">
        <v>78</v>
      </c>
      <c r="C10" s="8" t="s">
        <v>79</v>
      </c>
      <c r="D10" s="8" t="s">
        <v>80</v>
      </c>
      <c r="E10" s="8" t="s">
        <v>81</v>
      </c>
      <c r="F10" s="8" t="s">
        <v>82</v>
      </c>
      <c r="G10" s="8" t="s">
        <v>83</v>
      </c>
    </row>
    <row r="11" customFormat="false" ht="15" hidden="false" customHeight="true" outlineLevel="0" collapsed="false">
      <c r="A11" s="4" t="s">
        <v>84</v>
      </c>
      <c r="B11" s="17" t="n">
        <v>40000</v>
      </c>
      <c r="C11" s="17" t="n">
        <v>75000</v>
      </c>
      <c r="D11" s="17" t="n">
        <v>150000</v>
      </c>
      <c r="E11" s="17" t="n">
        <v>120000</v>
      </c>
      <c r="F11" s="17" t="n">
        <v>200000</v>
      </c>
      <c r="G11" s="17" t="n">
        <v>300000</v>
      </c>
    </row>
    <row r="12" customFormat="false" ht="15" hidden="false" customHeight="true" outlineLevel="0" collapsed="false">
      <c r="A12" s="4" t="s">
        <v>85</v>
      </c>
      <c r="B12" s="17" t="n">
        <v>150000</v>
      </c>
      <c r="C12" s="17" t="n">
        <v>350000</v>
      </c>
      <c r="D12" s="17" t="n">
        <v>600000</v>
      </c>
      <c r="E12" s="17" t="n">
        <v>500000</v>
      </c>
      <c r="F12" s="17" t="n">
        <v>850000</v>
      </c>
      <c r="G12" s="17" t="n">
        <v>1400000</v>
      </c>
    </row>
    <row r="13" customFormat="false" ht="15" hidden="false" customHeight="true" outlineLevel="0" collapsed="false">
      <c r="A13" s="4" t="s">
        <v>86</v>
      </c>
      <c r="B13" s="17" t="n">
        <v>75000</v>
      </c>
      <c r="C13" s="17" t="n">
        <v>150000</v>
      </c>
      <c r="D13" s="17" t="n">
        <v>250000</v>
      </c>
      <c r="E13" s="17" t="n">
        <v>250000</v>
      </c>
      <c r="F13" s="17" t="n">
        <v>300000</v>
      </c>
      <c r="G13" s="17" t="n">
        <v>450000</v>
      </c>
    </row>
    <row r="14" customFormat="false" ht="15" hidden="false" customHeight="true" outlineLevel="0" collapsed="false">
      <c r="A14" s="8" t="s">
        <v>87</v>
      </c>
      <c r="B14" s="18" t="n">
        <f aca="false">SUM(B11:B13)</f>
        <v>265000</v>
      </c>
      <c r="C14" s="18" t="n">
        <f aca="false">SUM(C11:C13)</f>
        <v>575000</v>
      </c>
      <c r="D14" s="18" t="n">
        <f aca="false">SUM(D11:D13)</f>
        <v>1000000</v>
      </c>
      <c r="E14" s="18" t="n">
        <f aca="false">SUM(E11:E13)</f>
        <v>870000</v>
      </c>
      <c r="F14" s="18" t="n">
        <f aca="false">SUM(F11:F13)</f>
        <v>1350000</v>
      </c>
      <c r="G14" s="18" t="n">
        <f aca="false">SUM(G11:G13)</f>
        <v>2150000</v>
      </c>
    </row>
    <row r="16" customFormat="false" ht="15" hidden="false" customHeight="true" outlineLevel="0" collapsed="false">
      <c r="A16" s="3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8"/>
  </cols>
  <sheetData>
    <row r="1" customFormat="false" ht="17.25" hidden="false" customHeight="true" outlineLevel="0" collapsed="false">
      <c r="A1" s="2" t="s">
        <v>89</v>
      </c>
    </row>
    <row r="3" customFormat="false" ht="15" hidden="false" customHeight="true" outlineLevel="0" collapsed="false">
      <c r="A3" s="4" t="s">
        <v>90</v>
      </c>
      <c r="B3" s="9" t="n">
        <v>350000</v>
      </c>
    </row>
    <row r="4" customFormat="false" ht="15" hidden="false" customHeight="true" outlineLevel="0" collapsed="false">
      <c r="A4" s="4" t="s">
        <v>91</v>
      </c>
      <c r="B4" s="19" t="n">
        <v>0.3</v>
      </c>
    </row>
    <row r="5" customFormat="false" ht="15" hidden="false" customHeight="true" outlineLevel="0" collapsed="false">
      <c r="A5" s="4" t="s">
        <v>92</v>
      </c>
      <c r="B5" s="20" t="n">
        <v>0.75</v>
      </c>
    </row>
    <row r="6" customFormat="false" ht="15" hidden="false" customHeight="true" outlineLevel="0" collapsed="false">
      <c r="A6" s="4" t="s">
        <v>93</v>
      </c>
      <c r="B6" s="9" t="n">
        <v>2000000000</v>
      </c>
    </row>
    <row r="7" customFormat="false" ht="15" hidden="false" customHeight="true" outlineLevel="0" collapsed="false">
      <c r="A7" s="4" t="s">
        <v>94</v>
      </c>
      <c r="B7" s="9" t="n">
        <v>5000000000</v>
      </c>
    </row>
    <row r="8" customFormat="false" ht="15" hidden="false" customHeight="true" outlineLevel="0" collapsed="false">
      <c r="A8" s="4" t="s">
        <v>95</v>
      </c>
      <c r="B8" s="21" t="n">
        <v>1.6</v>
      </c>
    </row>
    <row r="9" customFormat="false" ht="15" hidden="false" customHeight="true" outlineLevel="0" collapsed="false">
      <c r="A9" s="4" t="s">
        <v>96</v>
      </c>
      <c r="B9" s="11" t="n">
        <f aca="false">B3*(1-B4)</f>
        <v>245000</v>
      </c>
    </row>
    <row r="10" customFormat="false" ht="15" hidden="false" customHeight="true" outlineLevel="0" collapsed="false">
      <c r="A10" s="4" t="s">
        <v>97</v>
      </c>
      <c r="B10" s="11" t="n">
        <f aca="false">MAX(0,B7-B6)*B5/10000</f>
        <v>225000</v>
      </c>
    </row>
    <row r="11" customFormat="false" ht="15" hidden="false" customHeight="true" outlineLevel="0" collapsed="false">
      <c r="A11" s="4" t="s">
        <v>98</v>
      </c>
      <c r="B11" s="11" t="n">
        <f aca="false">B9+B10</f>
        <v>470000</v>
      </c>
    </row>
    <row r="12" customFormat="false" ht="15" hidden="false" customHeight="true" outlineLevel="0" collapsed="false">
      <c r="A12" s="4" t="s">
        <v>99</v>
      </c>
      <c r="B12" s="11" t="n">
        <f aca="false">B3*B8</f>
        <v>560000</v>
      </c>
    </row>
    <row r="13" customFormat="false" ht="15" hidden="false" customHeight="true" outlineLevel="0" collapsed="false">
      <c r="A13" s="13" t="s">
        <v>100</v>
      </c>
      <c r="B13" s="14" t="n">
        <f aca="false">MIN(B11,B12)</f>
        <v>470000</v>
      </c>
    </row>
    <row r="15" customFormat="false" ht="15" hidden="false" customHeight="true" outlineLevel="0" collapsed="false">
      <c r="A15" s="3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2026-08-06T07:41:14Z</dcterms:created>
  <dc:creator>openpyxl</dc:creator>
  <dc:description/>
  <dc:language>en-US</dc:language>
  <cp:lastModifiedBy/>
  <dcterms:modified xsi:type="dcterms:W3CDTF">2026-08-06T07:41:48Z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